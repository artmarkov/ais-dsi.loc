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795" windowWidth="25605" windowHeight="12435"/>
  </bookViews>
  <sheets>
    <sheet name="Лист 1" sheetId="2" r:id="rId1"/>
  </sheets>
  <calcPr calcId="152511"/>
</workbook>
</file>

<file path=xl/calcChain.xml><?xml version="1.0" encoding="utf-8"?>
<calcChain xmlns="http://schemas.openxmlformats.org/spreadsheetml/2006/main">
  <c r="T20" i="2" l="1"/>
  <c r="AK20" i="2"/>
  <c r="T19" i="2"/>
  <c r="T21" i="2" s="1"/>
  <c r="AK19" i="2"/>
  <c r="AK21" i="2"/>
</calcChain>
</file>

<file path=xl/sharedStrings.xml><?xml version="1.0" encoding="utf-8"?>
<sst xmlns="http://schemas.openxmlformats.org/spreadsheetml/2006/main" count="123" uniqueCount="117">
  <si>
    <t>явок</t>
  </si>
  <si>
    <t>Числа месяца</t>
  </si>
  <si>
    <t>Фамилия, имя</t>
  </si>
  <si>
    <t>Должность</t>
  </si>
  <si>
    <t>отчество</t>
  </si>
  <si>
    <t xml:space="preserve">  по  ОКПО</t>
  </si>
  <si>
    <t xml:space="preserve">          Дата</t>
  </si>
  <si>
    <t>Учетный номер</t>
  </si>
  <si>
    <t xml:space="preserve">Итого  </t>
  </si>
  <si>
    <t>дней</t>
  </si>
  <si>
    <t>за месяц</t>
  </si>
  <si>
    <t xml:space="preserve">Всего  </t>
  </si>
  <si>
    <t>(часов)</t>
  </si>
  <si>
    <t>(неявок)</t>
  </si>
  <si>
    <t>с 1 по 15</t>
  </si>
  <si>
    <r>
      <t>050</t>
    </r>
    <r>
      <rPr>
        <sz val="9"/>
        <rFont val="Arial Cyr"/>
        <charset val="204"/>
      </rPr>
      <t>4421</t>
    </r>
  </si>
  <si>
    <t>Коды</t>
  </si>
  <si>
    <t>(профессия)</t>
  </si>
  <si>
    <t xml:space="preserve">Форма по ОКУД </t>
  </si>
  <si>
    <t>Отметка бухгалтерии о принятии настоящего табеля</t>
  </si>
  <si>
    <t>Вид табеля</t>
  </si>
  <si>
    <t>Учреждение</t>
  </si>
  <si>
    <t xml:space="preserve">Структурное подразделение </t>
  </si>
  <si>
    <t>Номер корректировки</t>
  </si>
  <si>
    <t xml:space="preserve">  Дата формирования документа</t>
  </si>
  <si>
    <t>(первичный - 0; корректирующий - 1, 2 и так далее)</t>
  </si>
  <si>
    <t>Табель № [doc.tabel_num]</t>
  </si>
  <si>
    <t>за  период с [doc.period_in] по [doc.period_out] [doc.period_month] [doc.period_year] г.</t>
  </si>
  <si>
    <t>[doc.org_briefname]</t>
  </si>
  <si>
    <t>(подпись)</t>
  </si>
  <si>
    <t>[doc.leader_iof]</t>
  </si>
  <si>
    <t>[doc.employee_iof]</t>
  </si>
  <si>
    <t>[doc.employee_post]</t>
  </si>
  <si>
    <t>[doc.data_doc]  г.</t>
  </si>
  <si>
    <t>[doc.doc_data_mark]  г.</t>
  </si>
  <si>
    <t>[a.stake_slug]</t>
  </si>
  <si>
    <t>[a.tab_num]</t>
  </si>
  <si>
    <t>[a.direction_slug]</t>
  </si>
  <si>
    <t>[a.item;block=2*tbs:row]. [a.last_name]  [a.first_name]</t>
  </si>
  <si>
    <t xml:space="preserve"> [a.middle_name]</t>
  </si>
  <si>
    <t>[doc.data_doc]</t>
  </si>
  <si>
    <t>Квалификационная категория</t>
  </si>
  <si>
    <t>Табельный номер</t>
  </si>
  <si>
    <t>[a.days.status.1]</t>
  </si>
  <si>
    <t>[a.days.status.2]</t>
  </si>
  <si>
    <t>[a.days.status.3]</t>
  </si>
  <si>
    <t>[a.days.status.4]</t>
  </si>
  <si>
    <t>[a.days.status.5]</t>
  </si>
  <si>
    <t>[a.days.status.6]</t>
  </si>
  <si>
    <t>[a.days.status.7]</t>
  </si>
  <si>
    <t>[a.days.status.8]</t>
  </si>
  <si>
    <t>[a.days.status.9]</t>
  </si>
  <si>
    <t>[a.days.status.10]</t>
  </si>
  <si>
    <t>[a.days.status.11]</t>
  </si>
  <si>
    <t>[a.days.status.12]</t>
  </si>
  <si>
    <t>[a.days.status.13]</t>
  </si>
  <si>
    <t>[a.days.status.14]</t>
  </si>
  <si>
    <t>[a.days.status.15]</t>
  </si>
  <si>
    <t>[a.days.status.16]</t>
  </si>
  <si>
    <t>[a.days.status.17]</t>
  </si>
  <si>
    <t>[a.days.status.18]</t>
  </si>
  <si>
    <t>[a.days.status.19]</t>
  </si>
  <si>
    <t>[a.days.status.20]</t>
  </si>
  <si>
    <t>[a.days.status.21]</t>
  </si>
  <si>
    <t>[a.days.status.22]</t>
  </si>
  <si>
    <t>[a.days.status.23]</t>
  </si>
  <si>
    <t>[a.days.status.24]</t>
  </si>
  <si>
    <t>[a.days.status.25]</t>
  </si>
  <si>
    <t>[a.days.status.26]</t>
  </si>
  <si>
    <t>[a.days.status.27]</t>
  </si>
  <si>
    <t>[a.days.status.28]</t>
  </si>
  <si>
    <t>[a.days.status.29]</t>
  </si>
  <si>
    <t>[a.days.status.30]</t>
  </si>
  <si>
    <t>[a.days.status.31]</t>
  </si>
  <si>
    <t>52603682</t>
  </si>
  <si>
    <t>[doc.doc_accountant_post]</t>
  </si>
  <si>
    <t>[doc.doc_accountant_iof]</t>
  </si>
  <si>
    <t xml:space="preserve">     учета использования рабочего времени ([doc.subject_type_name])</t>
  </si>
  <si>
    <t>ИТОГО:</t>
  </si>
  <si>
    <t>[a.days.time.1;ope=tbs:num]</t>
  </si>
  <si>
    <t>[a.days.time.2;ope=tbs:num]</t>
  </si>
  <si>
    <t>[a.days.time.3;ope=tbs:num]</t>
  </si>
  <si>
    <t>[a.days.time.4;ope=tbs:num]</t>
  </si>
  <si>
    <t>[a.days.time.5;ope=tbs:num]</t>
  </si>
  <si>
    <t>[a.days.time.6;ope=tbs:num]</t>
  </si>
  <si>
    <t>[a.days.time.7;ope=tbs:num]</t>
  </si>
  <si>
    <t>[a.days.time.8;ope=tbs:num]</t>
  </si>
  <si>
    <t>[a.days.time.9;ope=tbs:num]</t>
  </si>
  <si>
    <t>[a.days.time.10;ope=tbs:num]</t>
  </si>
  <si>
    <t>[a.days.time.11;ope=tbs:num]</t>
  </si>
  <si>
    <t>[a.days.time.12;ope=tbs:num]</t>
  </si>
  <si>
    <t>[a.days.time.13;ope=tbs:num]</t>
  </si>
  <si>
    <t>[a.days.time.14;ope=tbs:num]</t>
  </si>
  <si>
    <t>[a.days.time.15;ope=tbs:num]</t>
  </si>
  <si>
    <t>[a.days.time.16;ope=tbs:num]</t>
  </si>
  <si>
    <t>[a.days.time.17;ope=tbs:num]</t>
  </si>
  <si>
    <t>[a.days.time.18;ope=tbs:num]</t>
  </si>
  <si>
    <t>[a.days.time.19;ope=tbs:num]</t>
  </si>
  <si>
    <t>[a.days.time.20;ope=tbs:num]</t>
  </si>
  <si>
    <t>[a.days.time.21;ope=tbs:num]</t>
  </si>
  <si>
    <t>[a.days.time.22;ope=tbs:num]</t>
  </si>
  <si>
    <t>[a.days.time.23;ope=tbs:num]</t>
  </si>
  <si>
    <t>[a.days.time.24;ope=tbs:num]</t>
  </si>
  <si>
    <t>[a.days.time.25;ope=tbs:num]</t>
  </si>
  <si>
    <t>[a.days.time.26;ope=tbs:num]</t>
  </si>
  <si>
    <t>[a.days.time.27;ope=tbs:num]</t>
  </si>
  <si>
    <t>[a.days.time.28;ope=tbs:num]</t>
  </si>
  <si>
    <t>[a.days.time.29;ope=tbs:num]</t>
  </si>
  <si>
    <t>[a.days.time.30;ope=tbs:num]</t>
  </si>
  <si>
    <t>[a.days.time.31;ope=tbs:num]</t>
  </si>
  <si>
    <t>Ответственный исполнитель - Директор</t>
  </si>
  <si>
    <t>Педагогические работники</t>
  </si>
  <si>
    <t>первичный</t>
  </si>
  <si>
    <t>0</t>
  </si>
  <si>
    <t>(расшифровка подписи)</t>
  </si>
  <si>
    <t xml:space="preserve">Исполнитель </t>
  </si>
  <si>
    <t xml:space="preserve">                             (должность)                  (подпись)                (расшифровка подписи)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</si>
</sst>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name val="Arial Cyr"/>
      <charset val="204"/>
    </font>
    <font>
      <b/>
      <sz val="10"/>
      <name val="Arial Cyr"/>
      <charset val="204"/>
    </font>
    <font>
      <sz val="8"/>
      <name val="Arial Cyr"/>
      <family val="2"/>
      <charset val="204"/>
    </font>
    <font>
      <b/>
      <sz val="11"/>
      <name val="Arial Cyr"/>
      <family val="2"/>
      <charset val="204"/>
    </font>
    <font>
      <sz val="10"/>
      <name val="Arial Cyr"/>
      <family val="2"/>
      <charset val="204"/>
    </font>
    <font>
      <sz val="9"/>
      <name val="Arial Cyr"/>
      <family val="2"/>
      <charset val="204"/>
    </font>
    <font>
      <sz val="8"/>
      <name val="Arial Cyr"/>
      <charset val="204"/>
    </font>
    <font>
      <sz val="9"/>
      <name val="Arial Cyr"/>
      <charset val="204"/>
    </font>
    <font>
      <b/>
      <sz val="16"/>
      <name val="Arial Cyr"/>
      <charset val="204"/>
    </font>
    <font>
      <b/>
      <sz val="8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DashDotDot">
        <color indexed="64"/>
      </left>
      <right/>
      <top style="mediumDashDotDot">
        <color indexed="64"/>
      </top>
      <bottom/>
      <diagonal/>
    </border>
    <border>
      <left/>
      <right/>
      <top style="mediumDashDotDot">
        <color indexed="64"/>
      </top>
      <bottom/>
      <diagonal/>
    </border>
    <border>
      <left/>
      <right style="mediumDashDotDot">
        <color indexed="64"/>
      </right>
      <top style="mediumDashDotDot">
        <color indexed="64"/>
      </top>
      <bottom/>
      <diagonal/>
    </border>
    <border>
      <left style="mediumDashDotDot">
        <color indexed="64"/>
      </left>
      <right/>
      <top/>
      <bottom/>
      <diagonal/>
    </border>
    <border>
      <left/>
      <right style="mediumDashDotDot">
        <color indexed="64"/>
      </right>
      <top/>
      <bottom/>
      <diagonal/>
    </border>
    <border>
      <left style="mediumDashDotDot">
        <color indexed="64"/>
      </left>
      <right/>
      <top/>
      <bottom style="mediumDashDotDot">
        <color indexed="64"/>
      </bottom>
      <diagonal/>
    </border>
    <border>
      <left/>
      <right/>
      <top/>
      <bottom style="mediumDashDotDot">
        <color indexed="64"/>
      </bottom>
      <diagonal/>
    </border>
    <border>
      <left/>
      <right style="mediumDashDotDot">
        <color indexed="64"/>
      </right>
      <top/>
      <bottom style="mediumDashDotDot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2" fillId="0" borderId="0" xfId="0" applyFont="1"/>
    <xf numFmtId="0" fontId="0" fillId="0" borderId="2" xfId="0" applyBorder="1"/>
    <xf numFmtId="0" fontId="2" fillId="0" borderId="2" xfId="0" applyFont="1" applyBorder="1" applyAlignment="1">
      <alignment horizontal="center"/>
    </xf>
    <xf numFmtId="0" fontId="2" fillId="0" borderId="2" xfId="0" applyFont="1" applyBorder="1"/>
    <xf numFmtId="0" fontId="2" fillId="0" borderId="5" xfId="0" applyFont="1" applyBorder="1"/>
    <xf numFmtId="0" fontId="2" fillId="0" borderId="8" xfId="0" applyFont="1" applyBorder="1" applyAlignment="1">
      <alignment horizontal="center"/>
    </xf>
    <xf numFmtId="49" fontId="2" fillId="0" borderId="11" xfId="0" applyNumberFormat="1" applyFont="1" applyBorder="1"/>
    <xf numFmtId="49" fontId="2" fillId="0" borderId="6" xfId="0" applyNumberFormat="1" applyFont="1" applyBorder="1"/>
    <xf numFmtId="49" fontId="2" fillId="0" borderId="12" xfId="0" applyNumberFormat="1" applyFont="1" applyBorder="1"/>
    <xf numFmtId="0" fontId="2" fillId="0" borderId="0" xfId="0" applyFont="1" applyAlignment="1">
      <alignment vertical="top"/>
    </xf>
    <xf numFmtId="49" fontId="2" fillId="0" borderId="14" xfId="0" applyNumberFormat="1" applyFont="1" applyBorder="1"/>
    <xf numFmtId="49" fontId="2" fillId="0" borderId="15" xfId="0" applyNumberFormat="1" applyFont="1" applyBorder="1"/>
    <xf numFmtId="49" fontId="2" fillId="0" borderId="16" xfId="0" applyNumberFormat="1" applyFont="1" applyBorder="1"/>
    <xf numFmtId="0" fontId="2" fillId="0" borderId="0" xfId="0" applyFont="1" applyAlignment="1">
      <alignment vertical="center"/>
    </xf>
    <xf numFmtId="0" fontId="2" fillId="0" borderId="17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" xfId="0" applyFont="1" applyBorder="1"/>
    <xf numFmtId="0" fontId="2" fillId="0" borderId="7" xfId="0" applyFont="1" applyBorder="1" applyAlignment="1">
      <alignment horizontal="center"/>
    </xf>
    <xf numFmtId="0" fontId="6" fillId="0" borderId="0" xfId="0" applyFont="1"/>
    <xf numFmtId="0" fontId="6" fillId="0" borderId="1" xfId="0" applyFont="1" applyBorder="1"/>
    <xf numFmtId="0" fontId="4" fillId="0" borderId="13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8" xfId="0" applyFont="1" applyBorder="1" applyAlignment="1">
      <alignment horizontal="center" vertical="center"/>
    </xf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6" fillId="0" borderId="26" xfId="0" applyFont="1" applyBorder="1"/>
    <xf numFmtId="0" fontId="1" fillId="0" borderId="0" xfId="0" applyFont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0" borderId="6" xfId="0" applyFont="1" applyBorder="1" applyAlignment="1">
      <alignment horizontal="center" vertical="center"/>
    </xf>
    <xf numFmtId="0" fontId="6" fillId="2" borderId="22" xfId="0" applyFont="1" applyFill="1" applyBorder="1" applyAlignment="1">
      <alignment horizontal="left" vertical="center"/>
    </xf>
    <xf numFmtId="0" fontId="6" fillId="2" borderId="5" xfId="0" applyFont="1" applyFill="1" applyBorder="1"/>
    <xf numFmtId="0" fontId="6" fillId="2" borderId="8" xfId="0" applyFont="1" applyFill="1" applyBorder="1"/>
    <xf numFmtId="49" fontId="6" fillId="2" borderId="8" xfId="0" applyNumberFormat="1" applyFont="1" applyFill="1" applyBorder="1"/>
    <xf numFmtId="0" fontId="6" fillId="2" borderId="0" xfId="0" applyFont="1" applyFill="1"/>
    <xf numFmtId="0" fontId="6" fillId="2" borderId="31" xfId="0" applyFont="1" applyFill="1" applyBorder="1" applyAlignment="1">
      <alignment horizontal="left" vertical="center"/>
    </xf>
    <xf numFmtId="0" fontId="6" fillId="2" borderId="4" xfId="0" applyFont="1" applyFill="1" applyBorder="1"/>
    <xf numFmtId="0" fontId="9" fillId="2" borderId="8" xfId="0" applyFont="1" applyFill="1" applyBorder="1" applyAlignment="1">
      <alignment horizontal="right" vertical="center"/>
    </xf>
    <xf numFmtId="0" fontId="9" fillId="2" borderId="8" xfId="0" applyFont="1" applyFill="1" applyBorder="1"/>
    <xf numFmtId="0" fontId="9" fillId="2" borderId="0" xfId="0" applyFont="1" applyFill="1" applyBorder="1"/>
    <xf numFmtId="2" fontId="6" fillId="2" borderId="5" xfId="0" applyNumberFormat="1" applyFont="1" applyFill="1" applyBorder="1"/>
    <xf numFmtId="2" fontId="6" fillId="2" borderId="5" xfId="0" applyNumberFormat="1" applyFont="1" applyFill="1" applyBorder="1" applyAlignment="1">
      <alignment horizontal="right"/>
    </xf>
    <xf numFmtId="2" fontId="9" fillId="2" borderId="8" xfId="0" applyNumberFormat="1" applyFont="1" applyFill="1" applyBorder="1"/>
    <xf numFmtId="2" fontId="9" fillId="2" borderId="8" xfId="0" applyNumberFormat="1" applyFont="1" applyFill="1" applyBorder="1" applyAlignment="1">
      <alignment horizontal="right"/>
    </xf>
    <xf numFmtId="0" fontId="6" fillId="0" borderId="0" xfId="0" applyFont="1" applyBorder="1"/>
    <xf numFmtId="0" fontId="0" fillId="0" borderId="0" xfId="0" applyBorder="1"/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wrapText="1"/>
    </xf>
    <xf numFmtId="0" fontId="7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18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0" xfId="0" applyAlignment="1">
      <alignment horizontal="center"/>
    </xf>
    <xf numFmtId="49" fontId="5" fillId="0" borderId="19" xfId="0" applyNumberFormat="1" applyFont="1" applyBorder="1" applyAlignment="1">
      <alignment horizontal="center"/>
    </xf>
    <xf numFmtId="49" fontId="5" fillId="0" borderId="20" xfId="0" applyNumberFormat="1" applyFont="1" applyBorder="1" applyAlignment="1">
      <alignment horizontal="center"/>
    </xf>
    <xf numFmtId="49" fontId="5" fillId="0" borderId="21" xfId="0" applyNumberFormat="1" applyFont="1" applyBorder="1" applyAlignment="1">
      <alignment horizontal="center"/>
    </xf>
    <xf numFmtId="0" fontId="8" fillId="0" borderId="0" xfId="0" applyFont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center"/>
    </xf>
    <xf numFmtId="49" fontId="2" fillId="0" borderId="11" xfId="0" applyNumberFormat="1" applyFont="1" applyBorder="1" applyAlignment="1">
      <alignment horizontal="center"/>
    </xf>
    <xf numFmtId="49" fontId="2" fillId="0" borderId="6" xfId="0" applyNumberFormat="1" applyFont="1" applyBorder="1" applyAlignment="1">
      <alignment horizontal="center"/>
    </xf>
    <xf numFmtId="49" fontId="2" fillId="0" borderId="12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606"/>
  <sheetViews>
    <sheetView tabSelected="1" topLeftCell="A10" zoomScale="130" zoomScaleNormal="130" workbookViewId="0">
      <selection activeCell="A10" sqref="A10"/>
    </sheetView>
  </sheetViews>
  <sheetFormatPr defaultColWidth="8.85546875" defaultRowHeight="12.75" x14ac:dyDescent="0.2"/>
  <cols>
    <col min="1" max="1" width="19" customWidth="1"/>
    <col min="2" max="2" width="6.140625" customWidth="1"/>
    <col min="3" max="3" width="5.7109375" customWidth="1"/>
    <col min="4" max="4" width="13" customWidth="1"/>
    <col min="5" max="19" width="4.5703125" customWidth="1"/>
    <col min="20" max="20" width="6.140625" customWidth="1"/>
    <col min="21" max="36" width="4.5703125" customWidth="1"/>
    <col min="37" max="37" width="7" customWidth="1"/>
  </cols>
  <sheetData>
    <row r="1" spans="1:46" x14ac:dyDescent="0.2">
      <c r="AG1" s="64"/>
      <c r="AH1" s="64"/>
      <c r="AI1" s="64"/>
      <c r="AJ1" s="64"/>
      <c r="AK1" s="64"/>
    </row>
    <row r="2" spans="1:46" s="1" customFormat="1" ht="25.5" customHeight="1" x14ac:dyDescent="0.2">
      <c r="H2" s="68" t="s">
        <v>26</v>
      </c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</row>
    <row r="3" spans="1:46" s="1" customFormat="1" ht="14.25" customHeight="1" thickBot="1" x14ac:dyDescent="0.3">
      <c r="E3" s="73" t="s">
        <v>77</v>
      </c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  <c r="AI3" s="24" t="s">
        <v>16</v>
      </c>
      <c r="AJ3" s="25"/>
      <c r="AK3" s="26"/>
    </row>
    <row r="4" spans="1:46" s="1" customFormat="1" ht="15.75" customHeight="1" x14ac:dyDescent="0.2">
      <c r="AE4" s="1" t="s">
        <v>18</v>
      </c>
      <c r="AI4" s="65" t="s">
        <v>15</v>
      </c>
      <c r="AJ4" s="66"/>
      <c r="AK4" s="67"/>
    </row>
    <row r="5" spans="1:46" s="1" customFormat="1" ht="12" customHeight="1" x14ac:dyDescent="0.2">
      <c r="G5" s="58" t="s">
        <v>27</v>
      </c>
      <c r="H5" s="59"/>
      <c r="I5" s="59"/>
      <c r="J5" s="59"/>
      <c r="K5" s="59"/>
      <c r="L5" s="59"/>
      <c r="M5" s="59"/>
      <c r="N5" s="59"/>
      <c r="O5" s="59"/>
      <c r="P5" s="59"/>
      <c r="Q5" s="59"/>
      <c r="R5" s="59"/>
      <c r="S5" s="59"/>
      <c r="T5" s="59"/>
      <c r="U5" s="59"/>
      <c r="V5" s="59"/>
      <c r="W5" s="59"/>
      <c r="X5" s="59"/>
      <c r="Y5" s="59"/>
      <c r="AF5" s="1" t="s">
        <v>6</v>
      </c>
      <c r="AI5" s="11"/>
      <c r="AJ5" s="12"/>
      <c r="AK5" s="13"/>
    </row>
    <row r="6" spans="1:46" s="1" customFormat="1" ht="21" customHeight="1" x14ac:dyDescent="0.2">
      <c r="A6" s="60" t="s">
        <v>21</v>
      </c>
      <c r="B6" s="60"/>
      <c r="D6" s="69" t="s">
        <v>28</v>
      </c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69"/>
      <c r="AF6" s="1" t="s">
        <v>5</v>
      </c>
      <c r="AI6" s="7"/>
      <c r="AJ6" s="8" t="s">
        <v>74</v>
      </c>
      <c r="AK6" s="9"/>
    </row>
    <row r="7" spans="1:46" s="1" customFormat="1" ht="34.5" customHeight="1" x14ac:dyDescent="0.2">
      <c r="A7" s="1" t="s">
        <v>22</v>
      </c>
      <c r="D7" s="57" t="s">
        <v>111</v>
      </c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I7" s="11"/>
      <c r="AJ7" s="12"/>
      <c r="AK7" s="13"/>
    </row>
    <row r="8" spans="1:46" s="1" customFormat="1" ht="17.25" customHeight="1" x14ac:dyDescent="0.2">
      <c r="A8" s="60" t="s">
        <v>20</v>
      </c>
      <c r="B8" s="60"/>
      <c r="D8" s="63" t="s">
        <v>112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1" t="s">
        <v>23</v>
      </c>
      <c r="AI8" s="11"/>
      <c r="AJ8" s="12"/>
      <c r="AK8" s="13" t="s">
        <v>113</v>
      </c>
    </row>
    <row r="9" spans="1:46" s="1" customFormat="1" ht="17.25" customHeight="1" x14ac:dyDescent="0.2">
      <c r="G9" s="10"/>
      <c r="K9" s="10" t="s">
        <v>25</v>
      </c>
      <c r="AB9" s="1" t="s">
        <v>24</v>
      </c>
      <c r="AG9" s="14"/>
      <c r="AI9" s="70" t="s">
        <v>40</v>
      </c>
      <c r="AJ9" s="71"/>
      <c r="AK9" s="72"/>
    </row>
    <row r="10" spans="1:46" s="1" customFormat="1" ht="11.25" customHeight="1" x14ac:dyDescent="0.2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</row>
    <row r="11" spans="1:46" ht="19.5" customHeight="1" x14ac:dyDescent="0.2">
      <c r="A11" s="16"/>
      <c r="B11" s="61" t="s">
        <v>7</v>
      </c>
      <c r="C11" s="62"/>
      <c r="D11" s="15"/>
      <c r="E11" s="27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37" t="s">
        <v>1</v>
      </c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21"/>
      <c r="AL11" s="1"/>
      <c r="AM11" s="1"/>
      <c r="AN11" s="1"/>
      <c r="AO11" s="1"/>
      <c r="AP11" s="1"/>
      <c r="AQ11" s="1"/>
      <c r="AR11" s="1"/>
      <c r="AS11" s="1"/>
      <c r="AT11" s="1"/>
    </row>
    <row r="12" spans="1:46" ht="10.5" customHeight="1" x14ac:dyDescent="0.2">
      <c r="A12" s="17" t="s">
        <v>2</v>
      </c>
      <c r="B12" s="54" t="s">
        <v>41</v>
      </c>
      <c r="C12" s="54" t="s">
        <v>42</v>
      </c>
      <c r="D12" s="3"/>
      <c r="E12" s="2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5"/>
      <c r="R12" s="4"/>
      <c r="S12" s="4"/>
      <c r="T12" s="3" t="s">
        <v>8</v>
      </c>
      <c r="U12" s="3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3" t="s">
        <v>11</v>
      </c>
      <c r="AL12" s="1"/>
      <c r="AM12" s="1"/>
      <c r="AN12" s="1"/>
      <c r="AO12" s="1"/>
      <c r="AP12" s="1"/>
      <c r="AQ12" s="1"/>
      <c r="AR12" s="1"/>
      <c r="AS12" s="1"/>
      <c r="AT12" s="1"/>
    </row>
    <row r="13" spans="1:46" ht="9.75" customHeight="1" x14ac:dyDescent="0.2">
      <c r="A13" s="17" t="s">
        <v>4</v>
      </c>
      <c r="B13" s="55"/>
      <c r="C13" s="55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 t="s">
        <v>9</v>
      </c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17" t="s">
        <v>9</v>
      </c>
      <c r="AL13" s="1"/>
      <c r="AM13" s="1"/>
      <c r="AN13" s="1"/>
      <c r="AO13" s="1"/>
      <c r="AP13" s="1"/>
      <c r="AQ13" s="1"/>
      <c r="AR13" s="1"/>
      <c r="AS13" s="1"/>
      <c r="AT13" s="1"/>
    </row>
    <row r="14" spans="1:46" ht="9.75" customHeight="1" x14ac:dyDescent="0.2">
      <c r="A14" s="17"/>
      <c r="B14" s="55"/>
      <c r="C14" s="55"/>
      <c r="D14" s="3" t="s">
        <v>3</v>
      </c>
      <c r="E14" s="3">
        <v>1</v>
      </c>
      <c r="F14" s="3">
        <v>2</v>
      </c>
      <c r="G14" s="3">
        <v>3</v>
      </c>
      <c r="H14" s="3">
        <v>4</v>
      </c>
      <c r="I14" s="3">
        <v>5</v>
      </c>
      <c r="J14" s="3">
        <v>6</v>
      </c>
      <c r="K14" s="3">
        <v>7</v>
      </c>
      <c r="L14" s="3">
        <v>8</v>
      </c>
      <c r="M14" s="3">
        <v>9</v>
      </c>
      <c r="N14" s="3">
        <v>10</v>
      </c>
      <c r="O14" s="3">
        <v>11</v>
      </c>
      <c r="P14" s="3">
        <v>12</v>
      </c>
      <c r="Q14" s="3">
        <v>13</v>
      </c>
      <c r="R14" s="3">
        <v>14</v>
      </c>
      <c r="S14" s="3">
        <v>15</v>
      </c>
      <c r="T14" s="3" t="s">
        <v>12</v>
      </c>
      <c r="U14" s="3">
        <v>16</v>
      </c>
      <c r="V14" s="3">
        <v>17</v>
      </c>
      <c r="W14" s="3">
        <v>18</v>
      </c>
      <c r="X14" s="3">
        <v>19</v>
      </c>
      <c r="Y14" s="3">
        <v>20</v>
      </c>
      <c r="Z14" s="3">
        <v>21</v>
      </c>
      <c r="AA14" s="3">
        <v>22</v>
      </c>
      <c r="AB14" s="3">
        <v>23</v>
      </c>
      <c r="AC14" s="3">
        <v>24</v>
      </c>
      <c r="AD14" s="3">
        <v>25</v>
      </c>
      <c r="AE14" s="3">
        <v>26</v>
      </c>
      <c r="AF14" s="3">
        <v>27</v>
      </c>
      <c r="AG14" s="3">
        <v>28</v>
      </c>
      <c r="AH14" s="3">
        <v>29</v>
      </c>
      <c r="AI14" s="3">
        <v>30</v>
      </c>
      <c r="AJ14" s="3">
        <v>31</v>
      </c>
      <c r="AK14" s="17" t="s">
        <v>12</v>
      </c>
      <c r="AL14" s="1"/>
      <c r="AM14" s="1"/>
      <c r="AN14" s="1"/>
      <c r="AO14" s="1"/>
      <c r="AP14" s="1"/>
      <c r="AQ14" s="1"/>
      <c r="AR14" s="1"/>
      <c r="AS14" s="1"/>
      <c r="AT14" s="1"/>
    </row>
    <row r="15" spans="1:46" ht="7.5" customHeight="1" x14ac:dyDescent="0.2">
      <c r="A15" s="17"/>
      <c r="B15" s="55"/>
      <c r="C15" s="55"/>
      <c r="D15" s="3" t="s">
        <v>17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 t="s">
        <v>0</v>
      </c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17" t="s">
        <v>0</v>
      </c>
      <c r="AL15" s="1"/>
      <c r="AM15" s="1"/>
      <c r="AN15" s="1"/>
      <c r="AO15" s="1"/>
      <c r="AP15" s="1"/>
      <c r="AQ15" s="1"/>
      <c r="AR15" s="1"/>
      <c r="AS15" s="1"/>
      <c r="AT15" s="1"/>
    </row>
    <row r="16" spans="1:46" ht="9" customHeight="1" x14ac:dyDescent="0.2">
      <c r="A16" s="17"/>
      <c r="B16" s="55"/>
      <c r="C16" s="55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 t="s">
        <v>13</v>
      </c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17" t="s">
        <v>13</v>
      </c>
      <c r="AL16" s="1"/>
      <c r="AM16" s="1"/>
      <c r="AN16" s="1"/>
      <c r="AO16" s="1"/>
      <c r="AP16" s="1"/>
      <c r="AQ16" s="1"/>
      <c r="AR16" s="1"/>
      <c r="AS16" s="1"/>
      <c r="AT16" s="1"/>
    </row>
    <row r="17" spans="1:46" ht="9.75" customHeight="1" x14ac:dyDescent="0.2">
      <c r="A17" s="17"/>
      <c r="B17" s="56"/>
      <c r="C17" s="56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18" t="s">
        <v>14</v>
      </c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 t="s">
        <v>10</v>
      </c>
      <c r="AL17" s="1"/>
      <c r="AM17" s="1"/>
      <c r="AN17" s="1"/>
      <c r="AO17" s="1"/>
      <c r="AP17" s="1"/>
      <c r="AQ17" s="1"/>
      <c r="AR17" s="1"/>
      <c r="AS17" s="1"/>
      <c r="AT17" s="1"/>
    </row>
    <row r="18" spans="1:46" ht="14.25" customHeight="1" x14ac:dyDescent="0.2">
      <c r="A18" s="6">
        <v>1</v>
      </c>
      <c r="B18" s="6">
        <v>2</v>
      </c>
      <c r="C18" s="21">
        <v>3</v>
      </c>
      <c r="D18" s="21">
        <v>4</v>
      </c>
      <c r="E18" s="21">
        <v>5</v>
      </c>
      <c r="F18" s="21">
        <v>6</v>
      </c>
      <c r="G18" s="21">
        <v>7</v>
      </c>
      <c r="H18" s="21">
        <v>8</v>
      </c>
      <c r="I18" s="21">
        <v>9</v>
      </c>
      <c r="J18" s="21">
        <v>10</v>
      </c>
      <c r="K18" s="21">
        <v>11</v>
      </c>
      <c r="L18" s="21">
        <v>12</v>
      </c>
      <c r="M18" s="21">
        <v>13</v>
      </c>
      <c r="N18" s="21">
        <v>14</v>
      </c>
      <c r="O18" s="21">
        <v>15</v>
      </c>
      <c r="P18" s="21">
        <v>16</v>
      </c>
      <c r="Q18" s="21">
        <v>17</v>
      </c>
      <c r="R18" s="21">
        <v>18</v>
      </c>
      <c r="S18" s="21">
        <v>19</v>
      </c>
      <c r="T18" s="21">
        <v>20</v>
      </c>
      <c r="U18" s="21">
        <v>21</v>
      </c>
      <c r="V18" s="21">
        <v>22</v>
      </c>
      <c r="W18" s="21">
        <v>23</v>
      </c>
      <c r="X18" s="21">
        <v>24</v>
      </c>
      <c r="Y18" s="21">
        <v>25</v>
      </c>
      <c r="Z18" s="21">
        <v>26</v>
      </c>
      <c r="AA18" s="21">
        <v>27</v>
      </c>
      <c r="AB18" s="21">
        <v>28</v>
      </c>
      <c r="AC18" s="21">
        <v>29</v>
      </c>
      <c r="AD18" s="21">
        <v>30</v>
      </c>
      <c r="AE18" s="21">
        <v>31</v>
      </c>
      <c r="AF18" s="21">
        <v>32</v>
      </c>
      <c r="AG18" s="21">
        <v>33</v>
      </c>
      <c r="AH18" s="21">
        <v>34</v>
      </c>
      <c r="AI18" s="21">
        <v>35</v>
      </c>
      <c r="AJ18" s="21">
        <v>36</v>
      </c>
      <c r="AK18" s="21">
        <v>37</v>
      </c>
      <c r="AL18" s="1"/>
      <c r="AM18" s="1"/>
      <c r="AN18" s="1"/>
      <c r="AO18" s="1"/>
      <c r="AP18" s="1"/>
      <c r="AQ18" s="1"/>
      <c r="AR18" s="1"/>
      <c r="AS18" s="1"/>
      <c r="AT18" s="1"/>
    </row>
    <row r="19" spans="1:46" ht="14.25" customHeight="1" x14ac:dyDescent="0.2">
      <c r="A19" s="38" t="s">
        <v>38</v>
      </c>
      <c r="B19" s="39" t="s">
        <v>35</v>
      </c>
      <c r="C19" s="39" t="s">
        <v>36</v>
      </c>
      <c r="D19" s="39" t="s">
        <v>37</v>
      </c>
      <c r="E19" s="48" t="s">
        <v>79</v>
      </c>
      <c r="F19" s="48" t="s">
        <v>80</v>
      </c>
      <c r="G19" s="48" t="s">
        <v>81</v>
      </c>
      <c r="H19" s="48" t="s">
        <v>82</v>
      </c>
      <c r="I19" s="48" t="s">
        <v>83</v>
      </c>
      <c r="J19" s="48" t="s">
        <v>84</v>
      </c>
      <c r="K19" s="48" t="s">
        <v>85</v>
      </c>
      <c r="L19" s="48" t="s">
        <v>86</v>
      </c>
      <c r="M19" s="48" t="s">
        <v>87</v>
      </c>
      <c r="N19" s="48" t="s">
        <v>88</v>
      </c>
      <c r="O19" s="48" t="s">
        <v>89</v>
      </c>
      <c r="P19" s="48" t="s">
        <v>90</v>
      </c>
      <c r="Q19" s="48" t="s">
        <v>91</v>
      </c>
      <c r="R19" s="48" t="s">
        <v>92</v>
      </c>
      <c r="S19" s="48" t="s">
        <v>93</v>
      </c>
      <c r="T19" s="49">
        <f ca="1">SUM(INDIRECT(ADDRESS(ROW(),COLUMN()-15))   : INDIRECT(ADDRESS(ROW(),COLUMN()-1)) )</f>
        <v>0</v>
      </c>
      <c r="U19" s="48" t="s">
        <v>94</v>
      </c>
      <c r="V19" s="48" t="s">
        <v>95</v>
      </c>
      <c r="W19" s="48" t="s">
        <v>96</v>
      </c>
      <c r="X19" s="48" t="s">
        <v>97</v>
      </c>
      <c r="Y19" s="48" t="s">
        <v>98</v>
      </c>
      <c r="Z19" s="48" t="s">
        <v>99</v>
      </c>
      <c r="AA19" s="48" t="s">
        <v>100</v>
      </c>
      <c r="AB19" s="48" t="s">
        <v>101</v>
      </c>
      <c r="AC19" s="48" t="s">
        <v>102</v>
      </c>
      <c r="AD19" s="48" t="s">
        <v>103</v>
      </c>
      <c r="AE19" s="48" t="s">
        <v>104</v>
      </c>
      <c r="AF19" s="48" t="s">
        <v>105</v>
      </c>
      <c r="AG19" s="48" t="s">
        <v>106</v>
      </c>
      <c r="AH19" s="48" t="s">
        <v>107</v>
      </c>
      <c r="AI19" s="48" t="s">
        <v>108</v>
      </c>
      <c r="AJ19" s="48" t="s">
        <v>109</v>
      </c>
      <c r="AK19" s="49">
        <f ca="1">SUM(INDIRECT(ADDRESS(ROW(),COLUMN()-17))   : INDIRECT(ADDRESS(ROW(),COLUMN()-1)) )</f>
        <v>0</v>
      </c>
      <c r="AL19" s="1"/>
      <c r="AM19" s="1"/>
      <c r="AN19" s="1"/>
      <c r="AO19" s="1"/>
      <c r="AP19" s="1"/>
      <c r="AQ19" s="1"/>
      <c r="AR19" s="1"/>
      <c r="AS19" s="1"/>
      <c r="AT19" s="1"/>
    </row>
    <row r="20" spans="1:46" s="42" customFormat="1" ht="16.5" customHeight="1" x14ac:dyDescent="0.2">
      <c r="A20" s="43" t="s">
        <v>39</v>
      </c>
      <c r="B20" s="44"/>
      <c r="C20" s="44"/>
      <c r="D20" s="44"/>
      <c r="E20" s="40" t="s">
        <v>43</v>
      </c>
      <c r="F20" s="40" t="s">
        <v>44</v>
      </c>
      <c r="G20" s="40" t="s">
        <v>45</v>
      </c>
      <c r="H20" s="40" t="s">
        <v>46</v>
      </c>
      <c r="I20" s="40" t="s">
        <v>47</v>
      </c>
      <c r="J20" s="40" t="s">
        <v>48</v>
      </c>
      <c r="K20" s="40" t="s">
        <v>49</v>
      </c>
      <c r="L20" s="40" t="s">
        <v>50</v>
      </c>
      <c r="M20" s="40" t="s">
        <v>51</v>
      </c>
      <c r="N20" s="40" t="s">
        <v>52</v>
      </c>
      <c r="O20" s="40" t="s">
        <v>53</v>
      </c>
      <c r="P20" s="40" t="s">
        <v>54</v>
      </c>
      <c r="Q20" s="40" t="s">
        <v>55</v>
      </c>
      <c r="R20" s="40" t="s">
        <v>56</v>
      </c>
      <c r="S20" s="40" t="s">
        <v>57</v>
      </c>
      <c r="T20" s="41">
        <f ca="1">COUNTIF(INDIRECT(ADDRESS(ROW(),COLUMN()-15))   : INDIRECT(ADDRESS(ROW(),COLUMN()-1)), "Ф" )</f>
        <v>0</v>
      </c>
      <c r="U20" s="40" t="s">
        <v>58</v>
      </c>
      <c r="V20" s="40" t="s">
        <v>59</v>
      </c>
      <c r="W20" s="40" t="s">
        <v>60</v>
      </c>
      <c r="X20" s="40" t="s">
        <v>61</v>
      </c>
      <c r="Y20" s="40" t="s">
        <v>62</v>
      </c>
      <c r="Z20" s="40" t="s">
        <v>63</v>
      </c>
      <c r="AA20" s="40" t="s">
        <v>64</v>
      </c>
      <c r="AB20" s="40" t="s">
        <v>65</v>
      </c>
      <c r="AC20" s="40" t="s">
        <v>66</v>
      </c>
      <c r="AD20" s="40" t="s">
        <v>67</v>
      </c>
      <c r="AE20" s="40" t="s">
        <v>68</v>
      </c>
      <c r="AF20" s="40" t="s">
        <v>69</v>
      </c>
      <c r="AG20" s="40" t="s">
        <v>70</v>
      </c>
      <c r="AH20" s="40" t="s">
        <v>71</v>
      </c>
      <c r="AI20" s="40" t="s">
        <v>72</v>
      </c>
      <c r="AJ20" s="40" t="s">
        <v>73</v>
      </c>
      <c r="AK20" s="41">
        <f ca="1">COUNTIF(INDIRECT(ADDRESS(ROW(),COLUMN()-32))   : INDIRECT(ADDRESS(ROW(),COLUMN()-1)), "Ф" )</f>
        <v>0</v>
      </c>
    </row>
    <row r="21" spans="1:46" s="42" customFormat="1" ht="15" customHeight="1" x14ac:dyDescent="0.2">
      <c r="A21" s="45" t="s">
        <v>78</v>
      </c>
      <c r="B21" s="46"/>
      <c r="C21" s="46"/>
      <c r="D21" s="46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1">
        <f ca="1">SUMPRODUCT((T19                            : INDIRECT(ADDRESS( ROW()-1,COLUMN())))*ISODD(ROW(T19                            : INDIRECT(ADDRESS( ROW()-1,COLUMN())))))</f>
        <v>0</v>
      </c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1">
        <f ca="1">SUMPRODUCT((AK19                             : INDIRECT(ADDRESS( ROW()-1,COLUMN())))*ISODD(ROW(AK19                              : INDIRECT(ADDRESS( ROW()-1,COLUMN())))))</f>
        <v>0</v>
      </c>
    </row>
    <row r="22" spans="1:46" s="47" customFormat="1" ht="15" customHeight="1" thickBot="1" x14ac:dyDescent="0.2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</row>
    <row r="23" spans="1:46" ht="15" customHeight="1" x14ac:dyDescent="0.2">
      <c r="Q23" s="28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30"/>
    </row>
    <row r="24" spans="1:46" ht="15" customHeight="1" x14ac:dyDescent="0.2">
      <c r="A24" s="52" t="s">
        <v>110</v>
      </c>
      <c r="B24" s="52"/>
      <c r="C24" s="52"/>
      <c r="D24" s="23"/>
      <c r="E24" s="23"/>
      <c r="F24" s="23"/>
      <c r="G24" s="23"/>
      <c r="H24" s="52" t="s">
        <v>30</v>
      </c>
      <c r="I24" s="52"/>
      <c r="J24" s="52"/>
      <c r="K24" s="52"/>
      <c r="L24" s="52"/>
      <c r="M24" s="52"/>
      <c r="N24" s="22"/>
      <c r="O24" s="22"/>
      <c r="P24" s="22"/>
      <c r="Q24" s="31"/>
      <c r="R24" s="22"/>
      <c r="S24" s="22"/>
      <c r="T24" s="32" t="s">
        <v>19</v>
      </c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33"/>
      <c r="AL24" s="22"/>
    </row>
    <row r="25" spans="1:46" s="22" customFormat="1" ht="15" customHeight="1" x14ac:dyDescent="0.2">
      <c r="D25" s="22" t="s">
        <v>29</v>
      </c>
      <c r="H25" s="52" t="s">
        <v>114</v>
      </c>
      <c r="I25" s="52"/>
      <c r="J25" s="52"/>
      <c r="K25" s="53"/>
      <c r="L25" s="52"/>
      <c r="M25" s="52"/>
      <c r="Q25" s="31"/>
      <c r="AK25" s="33"/>
    </row>
    <row r="26" spans="1:46" s="22" customFormat="1" ht="10.5" customHeight="1" x14ac:dyDescent="0.2">
      <c r="A26" s="52" t="s">
        <v>32</v>
      </c>
      <c r="B26" s="52"/>
      <c r="C26" s="52"/>
      <c r="D26" s="23"/>
      <c r="E26" s="23"/>
      <c r="F26" s="23"/>
      <c r="G26" s="23"/>
      <c r="H26" s="52" t="s">
        <v>31</v>
      </c>
      <c r="I26" s="52"/>
      <c r="J26" s="52"/>
      <c r="K26" s="52"/>
      <c r="L26" s="52"/>
      <c r="M26" s="52"/>
      <c r="Q26" s="31"/>
      <c r="R26" s="22" t="s">
        <v>115</v>
      </c>
      <c r="U26" s="22" t="s">
        <v>75</v>
      </c>
      <c r="Y26" s="23"/>
      <c r="Z26" s="23"/>
      <c r="AA26" s="23"/>
      <c r="AB26" s="23"/>
      <c r="AC26" s="23"/>
      <c r="AD26" s="23"/>
      <c r="AE26" s="22" t="s">
        <v>76</v>
      </c>
      <c r="AK26" s="33"/>
    </row>
    <row r="27" spans="1:46" s="22" customFormat="1" ht="10.5" customHeight="1" x14ac:dyDescent="0.2">
      <c r="D27" s="22" t="s">
        <v>29</v>
      </c>
      <c r="H27" s="52" t="s">
        <v>114</v>
      </c>
      <c r="I27" s="52"/>
      <c r="J27" s="52"/>
      <c r="K27" s="52"/>
      <c r="L27" s="52"/>
      <c r="M27" s="52"/>
      <c r="Q27" s="31"/>
      <c r="S27" s="22" t="s">
        <v>116</v>
      </c>
      <c r="AK27" s="33"/>
    </row>
    <row r="28" spans="1:46" s="22" customFormat="1" ht="12.75" customHeight="1" x14ac:dyDescent="0.2">
      <c r="Q28" s="31"/>
      <c r="AK28" s="33"/>
    </row>
    <row r="29" spans="1:46" s="22" customFormat="1" ht="10.5" customHeight="1" x14ac:dyDescent="0.2">
      <c r="Q29" s="31"/>
      <c r="R29" s="22" t="s">
        <v>34</v>
      </c>
      <c r="AK29" s="33"/>
    </row>
    <row r="30" spans="1:46" s="22" customFormat="1" ht="10.5" customHeight="1" thickBot="1" x14ac:dyDescent="0.25">
      <c r="A30" s="22" t="s">
        <v>33</v>
      </c>
      <c r="H30"/>
      <c r="Q30" s="34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6"/>
    </row>
    <row r="31" spans="1:46" s="22" customFormat="1" ht="10.5" customHeight="1" x14ac:dyDescent="0.2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</row>
    <row r="32" spans="1:46" ht="14.25" customHeight="1" x14ac:dyDescent="0.2"/>
    <row r="378" spans="1:46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</row>
    <row r="379" spans="1:46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</row>
    <row r="380" spans="1:46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</row>
    <row r="381" spans="1:46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</row>
    <row r="382" spans="1:46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</row>
    <row r="383" spans="1:46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</row>
    <row r="384" spans="1:46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</row>
    <row r="385" spans="1:46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</row>
    <row r="386" spans="1:46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</row>
    <row r="387" spans="1:46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</row>
    <row r="388" spans="1:46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</row>
    <row r="389" spans="1:46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</row>
    <row r="390" spans="1:46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</row>
    <row r="391" spans="1:46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</row>
    <row r="392" spans="1:46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</row>
    <row r="393" spans="1:46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</row>
    <row r="394" spans="1:46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</row>
    <row r="395" spans="1:46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</row>
    <row r="396" spans="1:46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</row>
    <row r="397" spans="1:46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</row>
    <row r="398" spans="1:46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</row>
    <row r="399" spans="1:46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</row>
    <row r="400" spans="1:46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</row>
    <row r="401" spans="1:46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</row>
    <row r="402" spans="1:46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</row>
    <row r="403" spans="1:46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</row>
    <row r="404" spans="1:46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</row>
    <row r="405" spans="1:46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</row>
    <row r="406" spans="1:46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</row>
    <row r="407" spans="1:46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</row>
    <row r="408" spans="1:46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</row>
    <row r="409" spans="1:46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</row>
    <row r="410" spans="1:46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</row>
    <row r="411" spans="1:46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</row>
    <row r="412" spans="1:46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</row>
    <row r="413" spans="1:46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</row>
    <row r="414" spans="1:46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</row>
    <row r="415" spans="1:46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</row>
    <row r="416" spans="1:46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</row>
    <row r="417" spans="1:46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</row>
    <row r="418" spans="1:46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</row>
    <row r="419" spans="1:46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</row>
    <row r="420" spans="1:46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</row>
    <row r="421" spans="1:46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</row>
    <row r="422" spans="1:46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</row>
    <row r="423" spans="1:46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</row>
    <row r="424" spans="1:46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</row>
    <row r="425" spans="1:46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</row>
    <row r="426" spans="1:46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</row>
    <row r="427" spans="1:46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</row>
    <row r="428" spans="1:46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</row>
    <row r="429" spans="1:46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</row>
    <row r="430" spans="1:46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</row>
    <row r="431" spans="1:46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</row>
    <row r="432" spans="1:46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</row>
    <row r="433" spans="1:46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</row>
    <row r="434" spans="1:46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</row>
    <row r="435" spans="1:46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</row>
    <row r="436" spans="1:46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</row>
    <row r="437" spans="1:46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</row>
    <row r="438" spans="1:46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</row>
    <row r="439" spans="1:46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</row>
    <row r="440" spans="1:46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</row>
    <row r="441" spans="1:46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</row>
    <row r="442" spans="1:46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</row>
    <row r="443" spans="1:46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</row>
    <row r="444" spans="1:46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</row>
    <row r="445" spans="1:46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</row>
    <row r="446" spans="1:46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</row>
    <row r="447" spans="1:46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</row>
    <row r="448" spans="1:46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</row>
    <row r="449" spans="1:46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</row>
    <row r="450" spans="1:46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</row>
    <row r="451" spans="1:46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</row>
    <row r="452" spans="1:46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</row>
    <row r="453" spans="1:46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</row>
    <row r="454" spans="1:46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</row>
    <row r="455" spans="1:46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</row>
    <row r="456" spans="1:46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</row>
    <row r="457" spans="1:46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</row>
    <row r="458" spans="1:46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</row>
    <row r="459" spans="1:46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</row>
    <row r="460" spans="1:46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</row>
    <row r="461" spans="1:46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</row>
    <row r="462" spans="1:46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</row>
    <row r="463" spans="1:46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</row>
    <row r="464" spans="1:46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</row>
    <row r="465" spans="1:46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</row>
    <row r="466" spans="1:46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</row>
    <row r="467" spans="1:46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</row>
    <row r="468" spans="1:46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</row>
    <row r="469" spans="1:46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</row>
    <row r="470" spans="1:46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</row>
    <row r="471" spans="1:46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</row>
    <row r="472" spans="1:46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</row>
    <row r="473" spans="1:46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</row>
    <row r="474" spans="1:46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</row>
    <row r="475" spans="1:46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</row>
    <row r="476" spans="1:46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</row>
    <row r="477" spans="1:46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</row>
    <row r="478" spans="1:46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</row>
    <row r="479" spans="1:46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</row>
    <row r="480" spans="1:46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</row>
    <row r="481" spans="1:46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</row>
    <row r="482" spans="1:46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</row>
    <row r="483" spans="1:46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</row>
    <row r="484" spans="1:46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</row>
    <row r="485" spans="1:46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</row>
    <row r="486" spans="1:46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</row>
    <row r="487" spans="1:46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</row>
    <row r="488" spans="1:46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</row>
    <row r="489" spans="1:46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</row>
    <row r="490" spans="1:46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</row>
    <row r="491" spans="1:46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</row>
    <row r="492" spans="1:46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</row>
    <row r="493" spans="1:46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</row>
    <row r="494" spans="1:46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</row>
    <row r="495" spans="1:46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</row>
    <row r="496" spans="1:46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</row>
    <row r="497" spans="1:46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</row>
    <row r="498" spans="1:46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</row>
    <row r="499" spans="1:46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</row>
    <row r="500" spans="1:46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</row>
    <row r="501" spans="1:46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</row>
    <row r="502" spans="1:46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</row>
    <row r="503" spans="1:46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</row>
    <row r="504" spans="1:46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</row>
    <row r="505" spans="1:46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</row>
    <row r="506" spans="1:46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</row>
    <row r="507" spans="1:46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</row>
    <row r="508" spans="1:46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</row>
    <row r="509" spans="1:46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</row>
    <row r="510" spans="1:46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</row>
    <row r="511" spans="1:46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</row>
    <row r="512" spans="1:46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</row>
    <row r="513" spans="1:46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</row>
    <row r="514" spans="1:46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</row>
    <row r="515" spans="1:46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</row>
    <row r="516" spans="1:46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</row>
    <row r="517" spans="1:46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</row>
    <row r="518" spans="1:46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</row>
    <row r="519" spans="1:46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</row>
    <row r="520" spans="1:46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</row>
    <row r="521" spans="1:46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</row>
    <row r="522" spans="1:46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</row>
    <row r="523" spans="1:46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</row>
    <row r="524" spans="1:46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</row>
    <row r="525" spans="1:46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</row>
    <row r="526" spans="1:46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</row>
    <row r="527" spans="1:46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</row>
    <row r="528" spans="1:46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</row>
    <row r="529" spans="1:46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</row>
    <row r="530" spans="1:46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</row>
    <row r="531" spans="1:46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</row>
    <row r="532" spans="1:46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</row>
    <row r="533" spans="1:46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</row>
    <row r="534" spans="1:46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</row>
    <row r="535" spans="1:46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</row>
    <row r="536" spans="1:46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</row>
    <row r="537" spans="1:46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</row>
    <row r="538" spans="1:46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</row>
    <row r="539" spans="1:46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</row>
    <row r="540" spans="1:46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</row>
    <row r="541" spans="1:46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</row>
    <row r="542" spans="1:46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</row>
    <row r="543" spans="1:46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</row>
    <row r="544" spans="1:46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</row>
    <row r="545" spans="1:46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</row>
    <row r="546" spans="1:46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</row>
    <row r="547" spans="1:46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</row>
    <row r="548" spans="1:46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</row>
    <row r="549" spans="1:46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</row>
    <row r="550" spans="1:46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</row>
    <row r="551" spans="1:46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</row>
    <row r="552" spans="1:46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</row>
    <row r="553" spans="1:46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</row>
    <row r="554" spans="1:46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</row>
    <row r="555" spans="1:46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</row>
    <row r="556" spans="1:46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</row>
    <row r="557" spans="1:46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</row>
    <row r="558" spans="1:46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</row>
    <row r="559" spans="1:46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</row>
    <row r="560" spans="1:46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</row>
    <row r="561" spans="1:46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</row>
    <row r="562" spans="1:46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</row>
    <row r="563" spans="1:46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</row>
    <row r="564" spans="1:46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</row>
    <row r="565" spans="1:46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</row>
    <row r="566" spans="1:46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</row>
    <row r="567" spans="1:46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</row>
    <row r="568" spans="1:46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</row>
    <row r="569" spans="1:46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</row>
    <row r="570" spans="1:46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</row>
    <row r="571" spans="1:46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</row>
    <row r="572" spans="1:46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</row>
    <row r="573" spans="1:46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</row>
    <row r="574" spans="1:46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</row>
    <row r="575" spans="1:46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</row>
    <row r="576" spans="1:46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</row>
    <row r="577" spans="1:46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</row>
    <row r="578" spans="1:46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</row>
    <row r="579" spans="1:46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</row>
    <row r="580" spans="1:46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</row>
    <row r="581" spans="1:46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</row>
    <row r="582" spans="1:46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</row>
    <row r="583" spans="1:46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</row>
    <row r="584" spans="1:46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</row>
    <row r="585" spans="1:46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</row>
    <row r="586" spans="1:46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</row>
    <row r="587" spans="1:46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</row>
    <row r="588" spans="1:46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</row>
    <row r="589" spans="1:46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</row>
    <row r="590" spans="1:46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</row>
    <row r="591" spans="1:46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</row>
    <row r="592" spans="1:46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</row>
    <row r="593" spans="1:46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</row>
    <row r="594" spans="1:46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</row>
    <row r="595" spans="1:46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</row>
    <row r="596" spans="1:46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</row>
    <row r="597" spans="1:46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</row>
    <row r="598" spans="1:46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</row>
    <row r="599" spans="1:46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</row>
    <row r="600" spans="1:46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</row>
    <row r="601" spans="1:46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</row>
    <row r="602" spans="1:46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</row>
    <row r="603" spans="1:46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</row>
    <row r="604" spans="1:46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</row>
    <row r="605" spans="1:46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</row>
    <row r="606" spans="1:46" x14ac:dyDescent="0.2">
      <c r="AL606" s="1"/>
      <c r="AM606" s="1"/>
      <c r="AN606" s="1"/>
      <c r="AO606" s="1"/>
      <c r="AP606" s="1"/>
      <c r="AQ606" s="1"/>
      <c r="AR606" s="1"/>
      <c r="AS606" s="1"/>
      <c r="AT606" s="1"/>
    </row>
  </sheetData>
  <mergeCells count="14">
    <mergeCell ref="AG1:AK1"/>
    <mergeCell ref="AI4:AK4"/>
    <mergeCell ref="H2:U2"/>
    <mergeCell ref="D6:AB6"/>
    <mergeCell ref="AI9:AK9"/>
    <mergeCell ref="E3:Y3"/>
    <mergeCell ref="B12:B17"/>
    <mergeCell ref="C12:C17"/>
    <mergeCell ref="D7:AB7"/>
    <mergeCell ref="G5:Y5"/>
    <mergeCell ref="A6:B6"/>
    <mergeCell ref="B11:C11"/>
    <mergeCell ref="D8:AB8"/>
    <mergeCell ref="A8:B8"/>
  </mergeCells>
  <phoneticPr fontId="6" type="noConversion"/>
  <pageMargins left="0.23622047244094491" right="0.23622047244094491" top="0.19685039370078741" bottom="0.74803149606299213" header="0.31496062992125984" footer="0.31496062992125984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 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2015-06-09T07:48:10Z</dcterms:created>
  <dcterms:modified xsi:type="dcterms:W3CDTF">2026-09-25T09:27:34Z</dcterms:modified>
</cp:coreProperties>
</file>